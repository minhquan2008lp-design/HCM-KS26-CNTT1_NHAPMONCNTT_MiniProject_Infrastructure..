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1"/>
  </bookViews>
  <sheets>
    <sheet name="danh-muc-linh-kien" sheetId="1" r:id="rId1"/>
    <sheet name="trang-thai-tram" sheetId="2" r:id="rId2"/>
  </sheets>
  <definedNames>
    <definedName name="_xlnm._FilterDatabase" localSheetId="0" hidden="1">'danh-muc-linh-kien'!$A$1:$D$6</definedName>
    <definedName name="_xlnm._FilterDatabase" localSheetId="1" hidden="1">'trang-thai-tram'!$A$1:$F$101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<sst xmlns="http://schemas.openxmlformats.org/spreadsheetml/2006/main" count="425" uniqueCount="127">
  <si>
    <t>ma_linh_kien</t>
  </si>
  <si>
    <t>ten_thiet_bi</t>
  </si>
  <si>
    <t>don_gia</t>
  </si>
  <si>
    <t>loai_storage</t>
  </si>
  <si>
    <t>SSD001</t>
  </si>
  <si>
    <t>SSD 256GB</t>
  </si>
  <si>
    <t>SSD</t>
  </si>
  <si>
    <t>SSD002</t>
  </si>
  <si>
    <t>SSD 512GB</t>
  </si>
  <si>
    <t>HDD001</t>
  </si>
  <si>
    <t>HDD 1TB</t>
  </si>
  <si>
    <t>HDD</t>
  </si>
  <si>
    <t>RAM001</t>
  </si>
  <si>
    <t>RAM 8GB</t>
  </si>
  <si>
    <t>N/A</t>
  </si>
  <si>
    <t>CPU001</t>
  </si>
  <si>
    <t>CPU 4 cores</t>
  </si>
  <si>
    <t>ma_tram</t>
  </si>
  <si>
    <t>dung_luong_ram</t>
  </si>
  <si>
    <t>ngay_lap_dat</t>
  </si>
  <si>
    <t>TRAM001</t>
  </si>
  <si>
    <t xml:space="preserve"> SSD001 </t>
  </si>
  <si>
    <t>8GB</t>
  </si>
  <si>
    <t>2026-10-01</t>
  </si>
  <si>
    <t>TRAM002</t>
  </si>
  <si>
    <t xml:space="preserve"> SSD002 </t>
  </si>
  <si>
    <t>TRAM003</t>
  </si>
  <si>
    <t xml:space="preserve"> HDD001 </t>
  </si>
  <si>
    <t>TRAM004</t>
  </si>
  <si>
    <t xml:space="preserve"> RAM001 </t>
  </si>
  <si>
    <t>TRAM005</t>
  </si>
  <si>
    <t xml:space="preserve"> CPU001 </t>
  </si>
  <si>
    <t>TRAM006</t>
  </si>
  <si>
    <t>TRAM007</t>
  </si>
  <si>
    <t>TRAM008</t>
  </si>
  <si>
    <t>TRAM009</t>
  </si>
  <si>
    <t>TRAM010</t>
  </si>
  <si>
    <t>TRAM011</t>
  </si>
  <si>
    <t>TRAM012</t>
  </si>
  <si>
    <t>TRAM013</t>
  </si>
  <si>
    <t>TRAM014</t>
  </si>
  <si>
    <t>TRAM015</t>
  </si>
  <si>
    <t>TRAM016</t>
  </si>
  <si>
    <t>TRAM017</t>
  </si>
  <si>
    <t>TRAM018</t>
  </si>
  <si>
    <t>TRAM019</t>
  </si>
  <si>
    <t>TRAM020</t>
  </si>
  <si>
    <t>TRAM021</t>
  </si>
  <si>
    <t>TRAM022</t>
  </si>
  <si>
    <t>TRAM023</t>
  </si>
  <si>
    <t>TRAM024</t>
  </si>
  <si>
    <t>TRAM025</t>
  </si>
  <si>
    <t>TRAM026</t>
  </si>
  <si>
    <t>TRAM027</t>
  </si>
  <si>
    <t>TRAM028</t>
  </si>
  <si>
    <t>TRAM029</t>
  </si>
  <si>
    <t>TRAM030</t>
  </si>
  <si>
    <t>TRAM031</t>
  </si>
  <si>
    <t>TRAM032</t>
  </si>
  <si>
    <t>TRAM033</t>
  </si>
  <si>
    <t>TRAM034</t>
  </si>
  <si>
    <t>TRAM035</t>
  </si>
  <si>
    <t>TRAM036</t>
  </si>
  <si>
    <t>TRAM037</t>
  </si>
  <si>
    <t>TRAM038</t>
  </si>
  <si>
    <t>TRAM039</t>
  </si>
  <si>
    <t>TRAM040</t>
  </si>
  <si>
    <t>TRAM041</t>
  </si>
  <si>
    <t>TRAM042</t>
  </si>
  <si>
    <t>TRAM043</t>
  </si>
  <si>
    <t>TRAM044</t>
  </si>
  <si>
    <t>TRAM045</t>
  </si>
  <si>
    <t>TRAM046</t>
  </si>
  <si>
    <t>TRAM047</t>
  </si>
  <si>
    <t>TRAM048</t>
  </si>
  <si>
    <t>TRAM049</t>
  </si>
  <si>
    <t>TRAM050</t>
  </si>
  <si>
    <t>TRAM051</t>
  </si>
  <si>
    <t>TRAM052</t>
  </si>
  <si>
    <t>TRAM053</t>
  </si>
  <si>
    <t>TRAM054</t>
  </si>
  <si>
    <t>TRAM055</t>
  </si>
  <si>
    <t>TRAM056</t>
  </si>
  <si>
    <t>TRAM057</t>
  </si>
  <si>
    <t>TRAM058</t>
  </si>
  <si>
    <t>TRAM059</t>
  </si>
  <si>
    <t>TRAM060</t>
  </si>
  <si>
    <t>TRAM061</t>
  </si>
  <si>
    <t>TRAM062</t>
  </si>
  <si>
    <t>TRAM063</t>
  </si>
  <si>
    <t>TRAM064</t>
  </si>
  <si>
    <t>TRAM065</t>
  </si>
  <si>
    <t>TRAM066</t>
  </si>
  <si>
    <t>TRAM067</t>
  </si>
  <si>
    <t>TRAM068</t>
  </si>
  <si>
    <t>TRAM069</t>
  </si>
  <si>
    <t>TRAM070</t>
  </si>
  <si>
    <t>TRAM071</t>
  </si>
  <si>
    <t>TRAM072</t>
  </si>
  <si>
    <t>TRAM073</t>
  </si>
  <si>
    <t>TRAM074</t>
  </si>
  <si>
    <t>TRAM075</t>
  </si>
  <si>
    <t>TRAM076</t>
  </si>
  <si>
    <t>TRAM077</t>
  </si>
  <si>
    <t>TRAM078</t>
  </si>
  <si>
    <t>TRAM079</t>
  </si>
  <si>
    <t>TRAM080</t>
  </si>
  <si>
    <t>TRAM081</t>
  </si>
  <si>
    <t>TRAM082</t>
  </si>
  <si>
    <t>TRAM083</t>
  </si>
  <si>
    <t>TRAM084</t>
  </si>
  <si>
    <t>TRAM085</t>
  </si>
  <si>
    <t>TRAM086</t>
  </si>
  <si>
    <t>TRAM087</t>
  </si>
  <si>
    <t>TRAM088</t>
  </si>
  <si>
    <t>TRAM089</t>
  </si>
  <si>
    <t>TRAM090</t>
  </si>
  <si>
    <t>TRAM091</t>
  </si>
  <si>
    <t>TRAM092</t>
  </si>
  <si>
    <t>TRAM093</t>
  </si>
  <si>
    <t>TRAM094</t>
  </si>
  <si>
    <t>TRAM095</t>
  </si>
  <si>
    <t>TRAM096</t>
  </si>
  <si>
    <t>TRAM097</t>
  </si>
  <si>
    <t>TRAM098</t>
  </si>
  <si>
    <t>TRAM099</t>
  </si>
  <si>
    <t>TRAM100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</si>
</sst>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6B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3"/>
  <cols>
    <col min="1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650000</v>
      </c>
      <c r="D2" t="s">
        <v>6</v>
      </c>
    </row>
    <row r="3" spans="1:4">
      <c r="A3" t="s">
        <v>7</v>
      </c>
      <c r="B3" t="s">
        <v>8</v>
      </c>
      <c r="C3">
        <v>950000</v>
      </c>
      <c r="D3" t="s">
        <v>6</v>
      </c>
    </row>
    <row r="4" spans="1:4">
      <c r="A4" t="s">
        <v>9</v>
      </c>
      <c r="B4" t="s">
        <v>10</v>
      </c>
      <c r="C4">
        <v>800000</v>
      </c>
      <c r="D4" t="s">
        <v>11</v>
      </c>
    </row>
    <row r="5" spans="1:4">
      <c r="A5" t="s">
        <v>12</v>
      </c>
      <c r="B5" t="s">
        <v>13</v>
      </c>
      <c r="C5">
        <v>450000</v>
      </c>
      <c r="D5" t="s">
        <v>14</v>
      </c>
    </row>
    <row r="6" spans="1:4">
      <c r="A6" t="s">
        <v>15</v>
      </c>
      <c r="B6" t="s">
        <v>16</v>
      </c>
      <c r="C6">
        <v>1800000</v>
      </c>
      <c r="D6" t="s">
        <v>14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2" width="14" customWidth="1"/>
    <col min="3" max="3" width="16" customWidth="1"/>
    <col min="4" max="4" width="14" customWidth="1"/>
    <col min="5" max="6" width="34" customWidth="1"/>
  </cols>
  <sheetData>
    <row r="1" spans="1:6">
      <c r="A1" s="1" t="s">
        <v>17</v>
      </c>
      <c r="B1" s="1" t="s">
        <v>0</v>
      </c>
      <c r="C1" s="1" t="s">
        <v>18</v>
      </c>
      <c r="D1" s="1" t="s">
        <v>19</v>
      </c>
      <c r="E1" s="1" t="s">
        <v>1</v>
      </c>
      <c r="F1" s="1" t="s">
        <v>2</v>
      </c>
    </row>
    <row r="2" spans="1:6">
      <c r="A2" t="s">
        <v>20</v>
      </c>
      <c r="B2" t="s">
        <v>21</v>
      </c>
      <c r="C2" t="s">
        <v>22</v>
      </c>
      <c r="D2" t="s">
        <v>23</v>
      </c>
      <c r="E2" t="str">
        <f>IFERROR(VLOOKUP(TRIM(B2),'danh-muc-linh-kien'!$A$2:$D$6,2,FALSE),"KHONG TIM THAY")</f>
        <v>SSD 256GB</v>
      </c>
      <c r="F2">
        <f>IFERROR(VLOOKUP(TRIM(B2),'danh-muc-linh-kien'!$A$2:$D$6,3,FALSE),0)</f>
        <v>650000</v>
      </c>
    </row>
    <row r="3" spans="1:6">
      <c r="A3" t="s">
        <v>24</v>
      </c>
      <c r="B3" t="s">
        <v>25</v>
      </c>
      <c r="C3" t="s">
        <v>22</v>
      </c>
      <c r="D3" t="s">
        <v>23</v>
      </c>
      <c r="E3" t="str">
        <f>IFERROR(VLOOKUP(TRIM(B3),'danh-muc-linh-kien'!$A$2:$D$6,2,FALSE),"KHONG TIM THAY")</f>
        <v>SSD 512GB</v>
      </c>
      <c r="F3">
        <f>IFERROR(VLOOKUP(TRIM(B3),'danh-muc-linh-kien'!$A$2:$D$6,3,FALSE),0)</f>
        <v>950000</v>
      </c>
    </row>
    <row r="4" spans="1:6">
      <c r="A4" t="s">
        <v>26</v>
      </c>
      <c r="B4" t="s">
        <v>27</v>
      </c>
      <c r="C4" t="s">
        <v>22</v>
      </c>
      <c r="D4" t="s">
        <v>23</v>
      </c>
      <c r="E4" t="str">
        <f>IFERROR(VLOOKUP(TRIM(B4),'danh-muc-linh-kien'!$A$2:$D$6,2,FALSE),"KHONG TIM THAY")</f>
        <v>HDD 1TB</v>
      </c>
      <c r="F4">
        <f>IFERROR(VLOOKUP(TRIM(B4),'danh-muc-linh-kien'!$A$2:$D$6,3,FALSE),0)</f>
        <v>800000</v>
      </c>
    </row>
    <row r="5" spans="1:6">
      <c r="A5" t="s">
        <v>28</v>
      </c>
      <c r="B5" t="s">
        <v>29</v>
      </c>
      <c r="C5" t="s">
        <v>22</v>
      </c>
      <c r="D5" t="s">
        <v>23</v>
      </c>
      <c r="E5" t="str">
        <f>IFERROR(VLOOKUP(TRIM(B5),'danh-muc-linh-kien'!$A$2:$D$6,2,FALSE),"KHONG TIM THAY")</f>
        <v>RAM 8GB</v>
      </c>
      <c r="F5">
        <f>IFERROR(VLOOKUP(TRIM(B5),'danh-muc-linh-kien'!$A$2:$D$6,3,FALSE),0)</f>
        <v>450000</v>
      </c>
    </row>
    <row r="6" spans="1:6">
      <c r="A6" t="s">
        <v>30</v>
      </c>
      <c r="B6" t="s">
        <v>31</v>
      </c>
      <c r="C6" t="s">
        <v>22</v>
      </c>
      <c r="D6" t="s">
        <v>23</v>
      </c>
      <c r="E6" t="str">
        <f>IFERROR(VLOOKUP(TRIM(B6),'danh-muc-linh-kien'!$A$2:$D$6,2,FALSE),"KHONG TIM THAY")</f>
        <v>CPU 4 cores</v>
      </c>
      <c r="F6">
        <f>IFERROR(VLOOKUP(TRIM(B6),'danh-muc-linh-kien'!$A$2:$D$6,3,FALSE),0)</f>
        <v>1800000</v>
      </c>
    </row>
    <row r="7" spans="1:6">
      <c r="A7" t="s">
        <v>32</v>
      </c>
      <c r="B7" t="s">
        <v>21</v>
      </c>
      <c r="C7" t="s">
        <v>22</v>
      </c>
      <c r="D7" t="s">
        <v>23</v>
      </c>
      <c r="E7" t="str">
        <f>IFERROR(VLOOKUP(TRIM(B7),'danh-muc-linh-kien'!$A$2:$D$6,2,FALSE),"KHONG TIM THAY")</f>
        <v>SSD 256GB</v>
      </c>
      <c r="F7">
        <f>IFERROR(VLOOKUP(TRIM(B7),'danh-muc-linh-kien'!$A$2:$D$6,3,FALSE),0)</f>
        <v>650000</v>
      </c>
    </row>
    <row r="8" spans="1:6">
      <c r="A8" t="s">
        <v>33</v>
      </c>
      <c r="B8" t="s">
        <v>25</v>
      </c>
      <c r="C8" t="s">
        <v>22</v>
      </c>
      <c r="D8" t="s">
        <v>23</v>
      </c>
      <c r="E8" t="str">
        <f>IFERROR(VLOOKUP(TRIM(B8),'danh-muc-linh-kien'!$A$2:$D$6,2,FALSE),"KHONG TIM THAY")</f>
        <v>SSD 512GB</v>
      </c>
      <c r="F8">
        <f>IFERROR(VLOOKUP(TRIM(B8),'danh-muc-linh-kien'!$A$2:$D$6,3,FALSE),0)</f>
        <v>950000</v>
      </c>
    </row>
    <row r="9" spans="1:6">
      <c r="A9" t="s">
        <v>34</v>
      </c>
      <c r="B9" t="s">
        <v>27</v>
      </c>
      <c r="C9" t="s">
        <v>22</v>
      </c>
      <c r="D9" t="s">
        <v>23</v>
      </c>
      <c r="E9" t="str">
        <f>IFERROR(VLOOKUP(TRIM(B9),'danh-muc-linh-kien'!$A$2:$D$6,2,FALSE),"KHONG TIM THAY")</f>
        <v>HDD 1TB</v>
      </c>
      <c r="F9">
        <f>IFERROR(VLOOKUP(TRIM(B9),'danh-muc-linh-kien'!$A$2:$D$6,3,FALSE),0)</f>
        <v>800000</v>
      </c>
    </row>
    <row r="10" spans="1:6">
      <c r="A10" t="s">
        <v>35</v>
      </c>
      <c r="B10" t="s">
        <v>29</v>
      </c>
      <c r="C10" t="s">
        <v>22</v>
      </c>
      <c r="D10" t="s">
        <v>23</v>
      </c>
      <c r="E10" t="str">
        <f>IFERROR(VLOOKUP(TRIM(B10),'danh-muc-linh-kien'!$A$2:$D$6,2,FALSE),"KHONG TIM THAY")</f>
        <v>RAM 8GB</v>
      </c>
      <c r="F10">
        <f>IFERROR(VLOOKUP(TRIM(B10),'danh-muc-linh-kien'!$A$2:$D$6,3,FALSE),0)</f>
        <v>450000</v>
      </c>
    </row>
    <row r="11" spans="1:6">
      <c r="A11" t="s">
        <v>36</v>
      </c>
      <c r="B11" t="s">
        <v>31</v>
      </c>
      <c r="C11" t="s">
        <v>22</v>
      </c>
      <c r="D11" t="s">
        <v>23</v>
      </c>
      <c r="E11" t="str">
        <f>IFERROR(VLOOKUP(TRIM(B11),'danh-muc-linh-kien'!$A$2:$D$6,2,FALSE),"KHONG TIM THAY")</f>
        <v>CPU 4 cores</v>
      </c>
      <c r="F11">
        <f>IFERROR(VLOOKUP(TRIM(B11),'danh-muc-linh-kien'!$A$2:$D$6,3,FALSE),0)</f>
        <v>1800000</v>
      </c>
    </row>
    <row r="12" spans="1:6">
      <c r="A12" t="s">
        <v>37</v>
      </c>
      <c r="B12" t="s">
        <v>21</v>
      </c>
      <c r="C12" t="s">
        <v>22</v>
      </c>
      <c r="D12" t="s">
        <v>23</v>
      </c>
      <c r="E12" t="str">
        <f>IFERROR(VLOOKUP(TRIM(B12),'danh-muc-linh-kien'!$A$2:$D$6,2,FALSE),"KHONG TIM THAY")</f>
        <v>SSD 256GB</v>
      </c>
      <c r="F12">
        <f>IFERROR(VLOOKUP(TRIM(B12),'danh-muc-linh-kien'!$A$2:$D$6,3,FALSE),0)</f>
        <v>650000</v>
      </c>
    </row>
    <row r="13" spans="1:6">
      <c r="A13" t="s">
        <v>38</v>
      </c>
      <c r="B13" t="s">
        <v>25</v>
      </c>
      <c r="C13" t="s">
        <v>22</v>
      </c>
      <c r="D13" t="s">
        <v>23</v>
      </c>
      <c r="E13" t="str">
        <f>IFERROR(VLOOKUP(TRIM(B13),'danh-muc-linh-kien'!$A$2:$D$6,2,FALSE),"KHONG TIM THAY")</f>
        <v>SSD 512GB</v>
      </c>
      <c r="F13">
        <f>IFERROR(VLOOKUP(TRIM(B13),'danh-muc-linh-kien'!$A$2:$D$6,3,FALSE),0)</f>
        <v>950000</v>
      </c>
    </row>
    <row r="14" spans="1:6">
      <c r="A14" t="s">
        <v>39</v>
      </c>
      <c r="B14" t="s">
        <v>27</v>
      </c>
      <c r="C14" t="s">
        <v>22</v>
      </c>
      <c r="D14" t="s">
        <v>23</v>
      </c>
      <c r="E14" t="str">
        <f>IFERROR(VLOOKUP(TRIM(B14),'danh-muc-linh-kien'!$A$2:$D$6,2,FALSE),"KHONG TIM THAY")</f>
        <v>HDD 1TB</v>
      </c>
      <c r="F14">
        <f>IFERROR(VLOOKUP(TRIM(B14),'danh-muc-linh-kien'!$A$2:$D$6,3,FALSE),0)</f>
        <v>800000</v>
      </c>
    </row>
    <row r="15" spans="1:6">
      <c r="A15" t="s">
        <v>40</v>
      </c>
      <c r="B15" t="s">
        <v>29</v>
      </c>
      <c r="C15" t="s">
        <v>22</v>
      </c>
      <c r="D15" t="s">
        <v>23</v>
      </c>
      <c r="E15" t="str">
        <f>IFERROR(VLOOKUP(TRIM(B15),'danh-muc-linh-kien'!$A$2:$D$6,2,FALSE),"KHONG TIM THAY")</f>
        <v>RAM 8GB</v>
      </c>
      <c r="F15">
        <f>IFERROR(VLOOKUP(TRIM(B15),'danh-muc-linh-kien'!$A$2:$D$6,3,FALSE),0)</f>
        <v>450000</v>
      </c>
    </row>
    <row r="16" spans="1:6">
      <c r="A16" t="s">
        <v>41</v>
      </c>
      <c r="B16" t="s">
        <v>31</v>
      </c>
      <c r="C16" t="s">
        <v>22</v>
      </c>
      <c r="D16" t="s">
        <v>23</v>
      </c>
      <c r="E16" t="str">
        <f>IFERROR(VLOOKUP(TRIM(B16),'danh-muc-linh-kien'!$A$2:$D$6,2,FALSE),"KHONG TIM THAY")</f>
        <v>CPU 4 cores</v>
      </c>
      <c r="F16">
        <f>IFERROR(VLOOKUP(TRIM(B16),'danh-muc-linh-kien'!$A$2:$D$6,3,FALSE),0)</f>
        <v>1800000</v>
      </c>
    </row>
    <row r="17" spans="1:6">
      <c r="A17" t="s">
        <v>42</v>
      </c>
      <c r="B17" t="s">
        <v>21</v>
      </c>
      <c r="C17" t="s">
        <v>22</v>
      </c>
      <c r="D17" t="s">
        <v>23</v>
      </c>
      <c r="E17" t="str">
        <f>IFERROR(VLOOKUP(TRIM(B17),'danh-muc-linh-kien'!$A$2:$D$6,2,FALSE),"KHONG TIM THAY")</f>
        <v>SSD 256GB</v>
      </c>
      <c r="F17">
        <f>IFERROR(VLOOKUP(TRIM(B17),'danh-muc-linh-kien'!$A$2:$D$6,3,FALSE),0)</f>
        <v>650000</v>
      </c>
    </row>
    <row r="18" spans="1:6">
      <c r="A18" t="s">
        <v>43</v>
      </c>
      <c r="B18" t="s">
        <v>25</v>
      </c>
      <c r="C18" t="s">
        <v>22</v>
      </c>
      <c r="D18" t="s">
        <v>23</v>
      </c>
      <c r="E18" t="str">
        <f>IFERROR(VLOOKUP(TRIM(B18),'danh-muc-linh-kien'!$A$2:$D$6,2,FALSE),"KHONG TIM THAY")</f>
        <v>SSD 512GB</v>
      </c>
      <c r="F18">
        <f>IFERROR(VLOOKUP(TRIM(B18),'danh-muc-linh-kien'!$A$2:$D$6,3,FALSE),0)</f>
        <v>950000</v>
      </c>
    </row>
    <row r="19" spans="1:6">
      <c r="A19" t="s">
        <v>44</v>
      </c>
      <c r="B19" t="s">
        <v>27</v>
      </c>
      <c r="C19" t="s">
        <v>22</v>
      </c>
      <c r="D19" t="s">
        <v>23</v>
      </c>
      <c r="E19" t="str">
        <f>IFERROR(VLOOKUP(TRIM(B19),'danh-muc-linh-kien'!$A$2:$D$6,2,FALSE),"KHONG TIM THAY")</f>
        <v>HDD 1TB</v>
      </c>
      <c r="F19">
        <f>IFERROR(VLOOKUP(TRIM(B19),'danh-muc-linh-kien'!$A$2:$D$6,3,FALSE),0)</f>
        <v>800000</v>
      </c>
    </row>
    <row r="20" spans="1:6">
      <c r="A20" t="s">
        <v>45</v>
      </c>
      <c r="B20" t="s">
        <v>29</v>
      </c>
      <c r="C20" t="s">
        <v>22</v>
      </c>
      <c r="D20" t="s">
        <v>23</v>
      </c>
      <c r="E20" t="str">
        <f>IFERROR(VLOOKUP(TRIM(B20),'danh-muc-linh-kien'!$A$2:$D$6,2,FALSE),"KHONG TIM THAY")</f>
        <v>RAM 8GB</v>
      </c>
      <c r="F20">
        <f>IFERROR(VLOOKUP(TRIM(B20),'danh-muc-linh-kien'!$A$2:$D$6,3,FALSE),0)</f>
        <v>450000</v>
      </c>
    </row>
    <row r="21" spans="1:6">
      <c r="A21" t="s">
        <v>46</v>
      </c>
      <c r="B21" t="s">
        <v>31</v>
      </c>
      <c r="C21" t="s">
        <v>22</v>
      </c>
      <c r="D21" t="s">
        <v>23</v>
      </c>
      <c r="E21" t="str">
        <f>IFERROR(VLOOKUP(TRIM(B21),'danh-muc-linh-kien'!$A$2:$D$6,2,FALSE),"KHONG TIM THAY")</f>
        <v>CPU 4 cores</v>
      </c>
      <c r="F21">
        <f>IFERROR(VLOOKUP(TRIM(B21),'danh-muc-linh-kien'!$A$2:$D$6,3,FALSE),0)</f>
        <v>1800000</v>
      </c>
    </row>
    <row r="22" spans="1:6">
      <c r="A22" t="s">
        <v>47</v>
      </c>
      <c r="B22" t="s">
        <v>21</v>
      </c>
      <c r="C22" t="s">
        <v>22</v>
      </c>
      <c r="D22" t="s">
        <v>23</v>
      </c>
      <c r="E22" t="str">
        <f>IFERROR(VLOOKUP(TRIM(B22),'danh-muc-linh-kien'!$A$2:$D$6,2,FALSE),"KHONG TIM THAY")</f>
        <v>SSD 256GB</v>
      </c>
      <c r="F22">
        <f>IFERROR(VLOOKUP(TRIM(B22),'danh-muc-linh-kien'!$A$2:$D$6,3,FALSE),0)</f>
        <v>650000</v>
      </c>
    </row>
    <row r="23" spans="1:6">
      <c r="A23" t="s">
        <v>48</v>
      </c>
      <c r="B23" t="s">
        <v>25</v>
      </c>
      <c r="C23" t="s">
        <v>22</v>
      </c>
      <c r="D23" t="s">
        <v>23</v>
      </c>
      <c r="E23" t="str">
        <f>IFERROR(VLOOKUP(TRIM(B23),'danh-muc-linh-kien'!$A$2:$D$6,2,FALSE),"KHONG TIM THAY")</f>
        <v>SSD 512GB</v>
      </c>
      <c r="F23">
        <f>IFERROR(VLOOKUP(TRIM(B23),'danh-muc-linh-kien'!$A$2:$D$6,3,FALSE),0)</f>
        <v>950000</v>
      </c>
    </row>
    <row r="24" spans="1:6">
      <c r="A24" t="s">
        <v>49</v>
      </c>
      <c r="B24" t="s">
        <v>27</v>
      </c>
      <c r="C24" t="s">
        <v>22</v>
      </c>
      <c r="D24" t="s">
        <v>23</v>
      </c>
      <c r="E24" t="str">
        <f>IFERROR(VLOOKUP(TRIM(B24),'danh-muc-linh-kien'!$A$2:$D$6,2,FALSE),"KHONG TIM THAY")</f>
        <v>HDD 1TB</v>
      </c>
      <c r="F24">
        <f>IFERROR(VLOOKUP(TRIM(B24),'danh-muc-linh-kien'!$A$2:$D$6,3,FALSE),0)</f>
        <v>800000</v>
      </c>
    </row>
    <row r="25" spans="1:6">
      <c r="A25" t="s">
        <v>50</v>
      </c>
      <c r="B25" t="s">
        <v>29</v>
      </c>
      <c r="C25" t="s">
        <v>22</v>
      </c>
      <c r="D25" t="s">
        <v>23</v>
      </c>
      <c r="E25" t="str">
        <f>IFERROR(VLOOKUP(TRIM(B25),'danh-muc-linh-kien'!$A$2:$D$6,2,FALSE),"KHONG TIM THAY")</f>
        <v>RAM 8GB</v>
      </c>
      <c r="F25">
        <f>IFERROR(VLOOKUP(TRIM(B25),'danh-muc-linh-kien'!$A$2:$D$6,3,FALSE),0)</f>
        <v>450000</v>
      </c>
    </row>
    <row r="26" spans="1:6">
      <c r="A26" t="s">
        <v>51</v>
      </c>
      <c r="B26" t="s">
        <v>31</v>
      </c>
      <c r="C26" t="s">
        <v>22</v>
      </c>
      <c r="D26" t="s">
        <v>23</v>
      </c>
      <c r="E26" t="str">
        <f>IFERROR(VLOOKUP(TRIM(B26),'danh-muc-linh-kien'!$A$2:$D$6,2,FALSE),"KHONG TIM THAY")</f>
        <v>CPU 4 cores</v>
      </c>
      <c r="F26">
        <f>IFERROR(VLOOKUP(TRIM(B26),'danh-muc-linh-kien'!$A$2:$D$6,3,FALSE),0)</f>
        <v>1800000</v>
      </c>
    </row>
    <row r="27" spans="1:6">
      <c r="A27" t="s">
        <v>52</v>
      </c>
      <c r="B27" t="s">
        <v>21</v>
      </c>
      <c r="C27" t="s">
        <v>22</v>
      </c>
      <c r="D27" t="s">
        <v>23</v>
      </c>
      <c r="E27" t="str">
        <f>IFERROR(VLOOKUP(TRIM(B27),'danh-muc-linh-kien'!$A$2:$D$6,2,FALSE),"KHONG TIM THAY")</f>
        <v>SSD 256GB</v>
      </c>
      <c r="F27">
        <f>IFERROR(VLOOKUP(TRIM(B27),'danh-muc-linh-kien'!$A$2:$D$6,3,FALSE),0)</f>
        <v>650000</v>
      </c>
    </row>
    <row r="28" spans="1:6">
      <c r="A28" t="s">
        <v>53</v>
      </c>
      <c r="B28" t="s">
        <v>25</v>
      </c>
      <c r="C28" t="s">
        <v>22</v>
      </c>
      <c r="D28" t="s">
        <v>23</v>
      </c>
      <c r="E28" t="str">
        <f>IFERROR(VLOOKUP(TRIM(B28),'danh-muc-linh-kien'!$A$2:$D$6,2,FALSE),"KHONG TIM THAY")</f>
        <v>SSD 512GB</v>
      </c>
      <c r="F28">
        <f>IFERROR(VLOOKUP(TRIM(B28),'danh-muc-linh-kien'!$A$2:$D$6,3,FALSE),0)</f>
        <v>950000</v>
      </c>
    </row>
    <row r="29" spans="1:6">
      <c r="A29" t="s">
        <v>54</v>
      </c>
      <c r="B29" t="s">
        <v>27</v>
      </c>
      <c r="C29" t="s">
        <v>22</v>
      </c>
      <c r="D29" t="s">
        <v>23</v>
      </c>
      <c r="E29" t="str">
        <f>IFERROR(VLOOKUP(TRIM(B29),'danh-muc-linh-kien'!$A$2:$D$6,2,FALSE),"KHONG TIM THAY")</f>
        <v>HDD 1TB</v>
      </c>
      <c r="F29">
        <f>IFERROR(VLOOKUP(TRIM(B29),'danh-muc-linh-kien'!$A$2:$D$6,3,FALSE),0)</f>
        <v>800000</v>
      </c>
    </row>
    <row r="30" spans="1:6">
      <c r="A30" t="s">
        <v>55</v>
      </c>
      <c r="B30" t="s">
        <v>29</v>
      </c>
      <c r="C30" t="s">
        <v>22</v>
      </c>
      <c r="D30" t="s">
        <v>23</v>
      </c>
      <c r="E30" t="str">
        <f>IFERROR(VLOOKUP(TRIM(B30),'danh-muc-linh-kien'!$A$2:$D$6,2,FALSE),"KHONG TIM THAY")</f>
        <v>RAM 8GB</v>
      </c>
      <c r="F30">
        <f>IFERROR(VLOOKUP(TRIM(B30),'danh-muc-linh-kien'!$A$2:$D$6,3,FALSE),0)</f>
        <v>450000</v>
      </c>
    </row>
    <row r="31" spans="1:6">
      <c r="A31" t="s">
        <v>56</v>
      </c>
      <c r="B31" t="s">
        <v>31</v>
      </c>
      <c r="C31" t="s">
        <v>22</v>
      </c>
      <c r="D31" t="s">
        <v>23</v>
      </c>
      <c r="E31" t="str">
        <f>IFERROR(VLOOKUP(TRIM(B31),'danh-muc-linh-kien'!$A$2:$D$6,2,FALSE),"KHONG TIM THAY")</f>
        <v>CPU 4 cores</v>
      </c>
      <c r="F31">
        <f>IFERROR(VLOOKUP(TRIM(B31),'danh-muc-linh-kien'!$A$2:$D$6,3,FALSE),0)</f>
        <v>1800000</v>
      </c>
    </row>
    <row r="32" spans="1:6">
      <c r="A32" t="s">
        <v>57</v>
      </c>
      <c r="B32" t="s">
        <v>21</v>
      </c>
      <c r="C32" t="s">
        <v>22</v>
      </c>
      <c r="D32" t="s">
        <v>23</v>
      </c>
      <c r="E32" t="str">
        <f>IFERROR(VLOOKUP(TRIM(B32),'danh-muc-linh-kien'!$A$2:$D$6,2,FALSE),"KHONG TIM THAY")</f>
        <v>SSD 256GB</v>
      </c>
      <c r="F32">
        <f>IFERROR(VLOOKUP(TRIM(B32),'danh-muc-linh-kien'!$A$2:$D$6,3,FALSE),0)</f>
        <v>650000</v>
      </c>
    </row>
    <row r="33" spans="1:6">
      <c r="A33" t="s">
        <v>58</v>
      </c>
      <c r="B33" t="s">
        <v>25</v>
      </c>
      <c r="C33" t="s">
        <v>22</v>
      </c>
      <c r="D33" t="s">
        <v>23</v>
      </c>
      <c r="E33" t="str">
        <f>IFERROR(VLOOKUP(TRIM(B33),'danh-muc-linh-kien'!$A$2:$D$6,2,FALSE),"KHONG TIM THAY")</f>
        <v>SSD 512GB</v>
      </c>
      <c r="F33">
        <f>IFERROR(VLOOKUP(TRIM(B33),'danh-muc-linh-kien'!$A$2:$D$6,3,FALSE),0)</f>
        <v>950000</v>
      </c>
    </row>
    <row r="34" spans="1:6">
      <c r="A34" t="s">
        <v>59</v>
      </c>
      <c r="B34" t="s">
        <v>27</v>
      </c>
      <c r="C34" t="s">
        <v>22</v>
      </c>
      <c r="D34" t="s">
        <v>23</v>
      </c>
      <c r="E34" t="str">
        <f>IFERROR(VLOOKUP(TRIM(B34),'danh-muc-linh-kien'!$A$2:$D$6,2,FALSE),"KHONG TIM THAY")</f>
        <v>HDD 1TB</v>
      </c>
      <c r="F34">
        <f>IFERROR(VLOOKUP(TRIM(B34),'danh-muc-linh-kien'!$A$2:$D$6,3,FALSE),0)</f>
        <v>800000</v>
      </c>
    </row>
    <row r="35" spans="1:6">
      <c r="A35" t="s">
        <v>60</v>
      </c>
      <c r="B35" t="s">
        <v>29</v>
      </c>
      <c r="C35" t="s">
        <v>22</v>
      </c>
      <c r="D35" t="s">
        <v>23</v>
      </c>
      <c r="E35" t="str">
        <f>IFERROR(VLOOKUP(TRIM(B35),'danh-muc-linh-kien'!$A$2:$D$6,2,FALSE),"KHONG TIM THAY")</f>
        <v>RAM 8GB</v>
      </c>
      <c r="F35">
        <f>IFERROR(VLOOKUP(TRIM(B35),'danh-muc-linh-kien'!$A$2:$D$6,3,FALSE),0)</f>
        <v>450000</v>
      </c>
    </row>
    <row r="36" spans="1:6">
      <c r="A36" t="s">
        <v>61</v>
      </c>
      <c r="B36" t="s">
        <v>31</v>
      </c>
      <c r="C36" t="s">
        <v>22</v>
      </c>
      <c r="D36" t="s">
        <v>23</v>
      </c>
      <c r="E36" t="str">
        <f>IFERROR(VLOOKUP(TRIM(B36),'danh-muc-linh-kien'!$A$2:$D$6,2,FALSE),"KHONG TIM THAY")</f>
        <v>CPU 4 cores</v>
      </c>
      <c r="F36">
        <f>IFERROR(VLOOKUP(TRIM(B36),'danh-muc-linh-kien'!$A$2:$D$6,3,FALSE),0)</f>
        <v>1800000</v>
      </c>
    </row>
    <row r="37" spans="1:6">
      <c r="A37" t="s">
        <v>62</v>
      </c>
      <c r="B37" t="s">
        <v>21</v>
      </c>
      <c r="C37" t="s">
        <v>22</v>
      </c>
      <c r="D37" t="s">
        <v>23</v>
      </c>
      <c r="E37" t="str">
        <f>IFERROR(VLOOKUP(TRIM(B37),'danh-muc-linh-kien'!$A$2:$D$6,2,FALSE),"KHONG TIM THAY")</f>
        <v>SSD 256GB</v>
      </c>
      <c r="F37">
        <f>IFERROR(VLOOKUP(TRIM(B37),'danh-muc-linh-kien'!$A$2:$D$6,3,FALSE),0)</f>
        <v>650000</v>
      </c>
    </row>
    <row r="38" spans="1:6">
      <c r="A38" t="s">
        <v>63</v>
      </c>
      <c r="B38" t="s">
        <v>25</v>
      </c>
      <c r="C38" t="s">
        <v>22</v>
      </c>
      <c r="D38" t="s">
        <v>23</v>
      </c>
      <c r="E38" t="str">
        <f>IFERROR(VLOOKUP(TRIM(B38),'danh-muc-linh-kien'!$A$2:$D$6,2,FALSE),"KHONG TIM THAY")</f>
        <v>SSD 512GB</v>
      </c>
      <c r="F38">
        <f>IFERROR(VLOOKUP(TRIM(B38),'danh-muc-linh-kien'!$A$2:$D$6,3,FALSE),0)</f>
        <v>950000</v>
      </c>
    </row>
    <row r="39" spans="1:6">
      <c r="A39" t="s">
        <v>64</v>
      </c>
      <c r="B39" t="s">
        <v>27</v>
      </c>
      <c r="C39" t="s">
        <v>22</v>
      </c>
      <c r="D39" t="s">
        <v>23</v>
      </c>
      <c r="E39" t="str">
        <f>IFERROR(VLOOKUP(TRIM(B39),'danh-muc-linh-kien'!$A$2:$D$6,2,FALSE),"KHONG TIM THAY")</f>
        <v>HDD 1TB</v>
      </c>
      <c r="F39">
        <f>IFERROR(VLOOKUP(TRIM(B39),'danh-muc-linh-kien'!$A$2:$D$6,3,FALSE),0)</f>
        <v>800000</v>
      </c>
    </row>
    <row r="40" spans="1:6">
      <c r="A40" t="s">
        <v>65</v>
      </c>
      <c r="B40" t="s">
        <v>29</v>
      </c>
      <c r="C40" t="s">
        <v>22</v>
      </c>
      <c r="D40" t="s">
        <v>23</v>
      </c>
      <c r="E40" t="str">
        <f>IFERROR(VLOOKUP(TRIM(B40),'danh-muc-linh-kien'!$A$2:$D$6,2,FALSE),"KHONG TIM THAY")</f>
        <v>RAM 8GB</v>
      </c>
      <c r="F40">
        <f>IFERROR(VLOOKUP(TRIM(B40),'danh-muc-linh-kien'!$A$2:$D$6,3,FALSE),0)</f>
        <v>450000</v>
      </c>
    </row>
    <row r="41" spans="1:6">
      <c r="A41" t="s">
        <v>66</v>
      </c>
      <c r="B41" t="s">
        <v>31</v>
      </c>
      <c r="C41" t="s">
        <v>22</v>
      </c>
      <c r="D41" t="s">
        <v>23</v>
      </c>
      <c r="E41" t="str">
        <f>IFERROR(VLOOKUP(TRIM(B41),'danh-muc-linh-kien'!$A$2:$D$6,2,FALSE),"KHONG TIM THAY")</f>
        <v>CPU 4 cores</v>
      </c>
      <c r="F41">
        <f>IFERROR(VLOOKUP(TRIM(B41),'danh-muc-linh-kien'!$A$2:$D$6,3,FALSE),0)</f>
        <v>1800000</v>
      </c>
    </row>
    <row r="42" spans="1:6">
      <c r="A42" t="s">
        <v>67</v>
      </c>
      <c r="B42" t="s">
        <v>21</v>
      </c>
      <c r="C42" t="s">
        <v>22</v>
      </c>
      <c r="D42" t="s">
        <v>23</v>
      </c>
      <c r="E42" t="str">
        <f>IFERROR(VLOOKUP(TRIM(B42),'danh-muc-linh-kien'!$A$2:$D$6,2,FALSE),"KHONG TIM THAY")</f>
        <v>SSD 256GB</v>
      </c>
      <c r="F42">
        <f>IFERROR(VLOOKUP(TRIM(B42),'danh-muc-linh-kien'!$A$2:$D$6,3,FALSE),0)</f>
        <v>650000</v>
      </c>
    </row>
    <row r="43" spans="1:6">
      <c r="A43" t="s">
        <v>68</v>
      </c>
      <c r="B43" t="s">
        <v>25</v>
      </c>
      <c r="C43" t="s">
        <v>22</v>
      </c>
      <c r="D43" t="s">
        <v>23</v>
      </c>
      <c r="E43" t="str">
        <f>IFERROR(VLOOKUP(TRIM(B43),'danh-muc-linh-kien'!$A$2:$D$6,2,FALSE),"KHONG TIM THAY")</f>
        <v>SSD 512GB</v>
      </c>
      <c r="F43">
        <f>IFERROR(VLOOKUP(TRIM(B43),'danh-muc-linh-kien'!$A$2:$D$6,3,FALSE),0)</f>
        <v>950000</v>
      </c>
    </row>
    <row r="44" spans="1:6">
      <c r="A44" t="s">
        <v>69</v>
      </c>
      <c r="B44" t="s">
        <v>27</v>
      </c>
      <c r="C44" t="s">
        <v>22</v>
      </c>
      <c r="D44" t="s">
        <v>23</v>
      </c>
      <c r="E44" t="str">
        <f>IFERROR(VLOOKUP(TRIM(B44),'danh-muc-linh-kien'!$A$2:$D$6,2,FALSE),"KHONG TIM THAY")</f>
        <v>HDD 1TB</v>
      </c>
      <c r="F44">
        <f>IFERROR(VLOOKUP(TRIM(B44),'danh-muc-linh-kien'!$A$2:$D$6,3,FALSE),0)</f>
        <v>800000</v>
      </c>
    </row>
    <row r="45" spans="1:6">
      <c r="A45" t="s">
        <v>70</v>
      </c>
      <c r="B45" t="s">
        <v>29</v>
      </c>
      <c r="C45" t="s">
        <v>22</v>
      </c>
      <c r="D45" t="s">
        <v>23</v>
      </c>
      <c r="E45" t="str">
        <f>IFERROR(VLOOKUP(TRIM(B45),'danh-muc-linh-kien'!$A$2:$D$6,2,FALSE),"KHONG TIM THAY")</f>
        <v>RAM 8GB</v>
      </c>
      <c r="F45">
        <f>IFERROR(VLOOKUP(TRIM(B45),'danh-muc-linh-kien'!$A$2:$D$6,3,FALSE),0)</f>
        <v>450000</v>
      </c>
    </row>
    <row r="46" spans="1:6">
      <c r="A46" t="s">
        <v>71</v>
      </c>
      <c r="B46" t="s">
        <v>31</v>
      </c>
      <c r="C46" t="s">
        <v>22</v>
      </c>
      <c r="D46" t="s">
        <v>23</v>
      </c>
      <c r="E46" t="str">
        <f>IFERROR(VLOOKUP(TRIM(B46),'danh-muc-linh-kien'!$A$2:$D$6,2,FALSE),"KHONG TIM THAY")</f>
        <v>CPU 4 cores</v>
      </c>
      <c r="F46">
        <f>IFERROR(VLOOKUP(TRIM(B46),'danh-muc-linh-kien'!$A$2:$D$6,3,FALSE),0)</f>
        <v>1800000</v>
      </c>
    </row>
    <row r="47" spans="1:6">
      <c r="A47" t="s">
        <v>72</v>
      </c>
      <c r="B47" t="s">
        <v>21</v>
      </c>
      <c r="C47" t="s">
        <v>22</v>
      </c>
      <c r="D47" t="s">
        <v>23</v>
      </c>
      <c r="E47" t="str">
        <f>IFERROR(VLOOKUP(TRIM(B47),'danh-muc-linh-kien'!$A$2:$D$6,2,FALSE),"KHONG TIM THAY")</f>
        <v>SSD 256GB</v>
      </c>
      <c r="F47">
        <f>IFERROR(VLOOKUP(TRIM(B47),'danh-muc-linh-kien'!$A$2:$D$6,3,FALSE),0)</f>
        <v>650000</v>
      </c>
    </row>
    <row r="48" spans="1:6">
      <c r="A48" t="s">
        <v>73</v>
      </c>
      <c r="B48" t="s">
        <v>25</v>
      </c>
      <c r="C48" t="s">
        <v>22</v>
      </c>
      <c r="D48" t="s">
        <v>23</v>
      </c>
      <c r="E48" t="str">
        <f>IFERROR(VLOOKUP(TRIM(B48),'danh-muc-linh-kien'!$A$2:$D$6,2,FALSE),"KHONG TIM THAY")</f>
        <v>SSD 512GB</v>
      </c>
      <c r="F48">
        <f>IFERROR(VLOOKUP(TRIM(B48),'danh-muc-linh-kien'!$A$2:$D$6,3,FALSE),0)</f>
        <v>950000</v>
      </c>
    </row>
    <row r="49" spans="1:6">
      <c r="A49" t="s">
        <v>74</v>
      </c>
      <c r="B49" t="s">
        <v>27</v>
      </c>
      <c r="C49" t="s">
        <v>22</v>
      </c>
      <c r="D49" t="s">
        <v>23</v>
      </c>
      <c r="E49" t="str">
        <f>IFERROR(VLOOKUP(TRIM(B49),'danh-muc-linh-kien'!$A$2:$D$6,2,FALSE),"KHONG TIM THAY")</f>
        <v>HDD 1TB</v>
      </c>
      <c r="F49">
        <f>IFERROR(VLOOKUP(TRIM(B49),'danh-muc-linh-kien'!$A$2:$D$6,3,FALSE),0)</f>
        <v>800000</v>
      </c>
    </row>
    <row r="50" spans="1:6">
      <c r="A50" t="s">
        <v>75</v>
      </c>
      <c r="B50" t="s">
        <v>29</v>
      </c>
      <c r="C50" t="s">
        <v>22</v>
      </c>
      <c r="D50" t="s">
        <v>23</v>
      </c>
      <c r="E50" t="str">
        <f>IFERROR(VLOOKUP(TRIM(B50),'danh-muc-linh-kien'!$A$2:$D$6,2,FALSE),"KHONG TIM THAY")</f>
        <v>RAM 8GB</v>
      </c>
      <c r="F50">
        <f>IFERROR(VLOOKUP(TRIM(B50),'danh-muc-linh-kien'!$A$2:$D$6,3,FALSE),0)</f>
        <v>450000</v>
      </c>
    </row>
    <row r="51" spans="1:6">
      <c r="A51" t="s">
        <v>76</v>
      </c>
      <c r="B51" t="s">
        <v>31</v>
      </c>
      <c r="C51" t="s">
        <v>22</v>
      </c>
      <c r="D51" t="s">
        <v>23</v>
      </c>
      <c r="E51" t="str">
        <f>IFERROR(VLOOKUP(TRIM(B51),'danh-muc-linh-kien'!$A$2:$D$6,2,FALSE),"KHONG TIM THAY")</f>
        <v>CPU 4 cores</v>
      </c>
      <c r="F51">
        <f>IFERROR(VLOOKUP(TRIM(B51),'danh-muc-linh-kien'!$A$2:$D$6,3,FALSE),0)</f>
        <v>1800000</v>
      </c>
    </row>
    <row r="52" spans="1:6">
      <c r="A52" t="s">
        <v>77</v>
      </c>
      <c r="B52" t="s">
        <v>21</v>
      </c>
      <c r="C52" t="s">
        <v>22</v>
      </c>
      <c r="D52" t="s">
        <v>23</v>
      </c>
      <c r="E52" t="str">
        <f>IFERROR(VLOOKUP(TRIM(B52),'danh-muc-linh-kien'!$A$2:$D$6,2,FALSE),"KHONG TIM THAY")</f>
        <v>SSD 256GB</v>
      </c>
      <c r="F52">
        <f>IFERROR(VLOOKUP(TRIM(B52),'danh-muc-linh-kien'!$A$2:$D$6,3,FALSE),0)</f>
        <v>650000</v>
      </c>
    </row>
    <row r="53" spans="1:6">
      <c r="A53" t="s">
        <v>78</v>
      </c>
      <c r="B53" t="s">
        <v>25</v>
      </c>
      <c r="C53" t="s">
        <v>22</v>
      </c>
      <c r="D53" t="s">
        <v>23</v>
      </c>
      <c r="E53" t="str">
        <f>IFERROR(VLOOKUP(TRIM(B53),'danh-muc-linh-kien'!$A$2:$D$6,2,FALSE),"KHONG TIM THAY")</f>
        <v>SSD 512GB</v>
      </c>
      <c r="F53">
        <f>IFERROR(VLOOKUP(TRIM(B53),'danh-muc-linh-kien'!$A$2:$D$6,3,FALSE),0)</f>
        <v>950000</v>
      </c>
    </row>
    <row r="54" spans="1:6">
      <c r="A54" t="s">
        <v>79</v>
      </c>
      <c r="B54" t="s">
        <v>27</v>
      </c>
      <c r="C54" t="s">
        <v>22</v>
      </c>
      <c r="D54" t="s">
        <v>23</v>
      </c>
      <c r="E54" t="str">
        <f>IFERROR(VLOOKUP(TRIM(B54),'danh-muc-linh-kien'!$A$2:$D$6,2,FALSE),"KHONG TIM THAY")</f>
        <v>HDD 1TB</v>
      </c>
      <c r="F54">
        <f>IFERROR(VLOOKUP(TRIM(B54),'danh-muc-linh-kien'!$A$2:$D$6,3,FALSE),0)</f>
        <v>800000</v>
      </c>
    </row>
    <row r="55" spans="1:6">
      <c r="A55" t="s">
        <v>80</v>
      </c>
      <c r="B55" t="s">
        <v>29</v>
      </c>
      <c r="C55" t="s">
        <v>22</v>
      </c>
      <c r="D55" t="s">
        <v>23</v>
      </c>
      <c r="E55" t="str">
        <f>IFERROR(VLOOKUP(TRIM(B55),'danh-muc-linh-kien'!$A$2:$D$6,2,FALSE),"KHONG TIM THAY")</f>
        <v>RAM 8GB</v>
      </c>
      <c r="F55">
        <f>IFERROR(VLOOKUP(TRIM(B55),'danh-muc-linh-kien'!$A$2:$D$6,3,FALSE),0)</f>
        <v>450000</v>
      </c>
    </row>
    <row r="56" spans="1:6">
      <c r="A56" t="s">
        <v>81</v>
      </c>
      <c r="B56" t="s">
        <v>31</v>
      </c>
      <c r="C56" t="s">
        <v>22</v>
      </c>
      <c r="D56" t="s">
        <v>23</v>
      </c>
      <c r="E56" t="str">
        <f>IFERROR(VLOOKUP(TRIM(B56),'danh-muc-linh-kien'!$A$2:$D$6,2,FALSE),"KHONG TIM THAY")</f>
        <v>CPU 4 cores</v>
      </c>
      <c r="F56">
        <f>IFERROR(VLOOKUP(TRIM(B56),'danh-muc-linh-kien'!$A$2:$D$6,3,FALSE),0)</f>
        <v>1800000</v>
      </c>
    </row>
    <row r="57" spans="1:6">
      <c r="A57" t="s">
        <v>82</v>
      </c>
      <c r="B57" t="s">
        <v>21</v>
      </c>
      <c r="C57" t="s">
        <v>22</v>
      </c>
      <c r="D57" t="s">
        <v>23</v>
      </c>
      <c r="E57" t="str">
        <f>IFERROR(VLOOKUP(TRIM(B57),'danh-muc-linh-kien'!$A$2:$D$6,2,FALSE),"KHONG TIM THAY")</f>
        <v>SSD 256GB</v>
      </c>
      <c r="F57">
        <f>IFERROR(VLOOKUP(TRIM(B57),'danh-muc-linh-kien'!$A$2:$D$6,3,FALSE),0)</f>
        <v>650000</v>
      </c>
    </row>
    <row r="58" spans="1:6">
      <c r="A58" t="s">
        <v>83</v>
      </c>
      <c r="B58" t="s">
        <v>25</v>
      </c>
      <c r="C58" t="s">
        <v>22</v>
      </c>
      <c r="D58" t="s">
        <v>23</v>
      </c>
      <c r="E58" t="str">
        <f>IFERROR(VLOOKUP(TRIM(B58),'danh-muc-linh-kien'!$A$2:$D$6,2,FALSE),"KHONG TIM THAY")</f>
        <v>SSD 512GB</v>
      </c>
      <c r="F58">
        <f>IFERROR(VLOOKUP(TRIM(B58),'danh-muc-linh-kien'!$A$2:$D$6,3,FALSE),0)</f>
        <v>950000</v>
      </c>
    </row>
    <row r="59" spans="1:6">
      <c r="A59" t="s">
        <v>84</v>
      </c>
      <c r="B59" t="s">
        <v>27</v>
      </c>
      <c r="C59" t="s">
        <v>22</v>
      </c>
      <c r="D59" t="s">
        <v>23</v>
      </c>
      <c r="E59" t="str">
        <f>IFERROR(VLOOKUP(TRIM(B59),'danh-muc-linh-kien'!$A$2:$D$6,2,FALSE),"KHONG TIM THAY")</f>
        <v>HDD 1TB</v>
      </c>
      <c r="F59">
        <f>IFERROR(VLOOKUP(TRIM(B59),'danh-muc-linh-kien'!$A$2:$D$6,3,FALSE),0)</f>
        <v>800000</v>
      </c>
    </row>
    <row r="60" spans="1:6">
      <c r="A60" t="s">
        <v>85</v>
      </c>
      <c r="B60" t="s">
        <v>29</v>
      </c>
      <c r="C60" t="s">
        <v>22</v>
      </c>
      <c r="D60" t="s">
        <v>23</v>
      </c>
      <c r="E60" t="str">
        <f>IFERROR(VLOOKUP(TRIM(B60),'danh-muc-linh-kien'!$A$2:$D$6,2,FALSE),"KHONG TIM THAY")</f>
        <v>RAM 8GB</v>
      </c>
      <c r="F60">
        <f>IFERROR(VLOOKUP(TRIM(B60),'danh-muc-linh-kien'!$A$2:$D$6,3,FALSE),0)</f>
        <v>450000</v>
      </c>
    </row>
    <row r="61" spans="1:6">
      <c r="A61" t="s">
        <v>86</v>
      </c>
      <c r="B61" t="s">
        <v>31</v>
      </c>
      <c r="C61" t="s">
        <v>22</v>
      </c>
      <c r="D61" t="s">
        <v>23</v>
      </c>
      <c r="E61" t="str">
        <f>IFERROR(VLOOKUP(TRIM(B61),'danh-muc-linh-kien'!$A$2:$D$6,2,FALSE),"KHONG TIM THAY")</f>
        <v>CPU 4 cores</v>
      </c>
      <c r="F61">
        <f>IFERROR(VLOOKUP(TRIM(B61),'danh-muc-linh-kien'!$A$2:$D$6,3,FALSE),0)</f>
        <v>1800000</v>
      </c>
    </row>
    <row r="62" spans="1:6">
      <c r="A62" t="s">
        <v>87</v>
      </c>
      <c r="B62" t="s">
        <v>21</v>
      </c>
      <c r="C62" t="s">
        <v>22</v>
      </c>
      <c r="D62" t="s">
        <v>23</v>
      </c>
      <c r="E62" t="str">
        <f>IFERROR(VLOOKUP(TRIM(B62),'danh-muc-linh-kien'!$A$2:$D$6,2,FALSE),"KHONG TIM THAY")</f>
        <v>SSD 256GB</v>
      </c>
      <c r="F62">
        <f>IFERROR(VLOOKUP(TRIM(B62),'danh-muc-linh-kien'!$A$2:$D$6,3,FALSE),0)</f>
        <v>650000</v>
      </c>
    </row>
    <row r="63" spans="1:6">
      <c r="A63" t="s">
        <v>88</v>
      </c>
      <c r="B63" t="s">
        <v>25</v>
      </c>
      <c r="C63" t="s">
        <v>22</v>
      </c>
      <c r="D63" t="s">
        <v>23</v>
      </c>
      <c r="E63" t="str">
        <f>IFERROR(VLOOKUP(TRIM(B63),'danh-muc-linh-kien'!$A$2:$D$6,2,FALSE),"KHONG TIM THAY")</f>
        <v>SSD 512GB</v>
      </c>
      <c r="F63">
        <f>IFERROR(VLOOKUP(TRIM(B63),'danh-muc-linh-kien'!$A$2:$D$6,3,FALSE),0)</f>
        <v>950000</v>
      </c>
    </row>
    <row r="64" spans="1:6">
      <c r="A64" t="s">
        <v>89</v>
      </c>
      <c r="B64" t="s">
        <v>27</v>
      </c>
      <c r="C64" t="s">
        <v>22</v>
      </c>
      <c r="D64" t="s">
        <v>23</v>
      </c>
      <c r="E64" t="str">
        <f>IFERROR(VLOOKUP(TRIM(B64),'danh-muc-linh-kien'!$A$2:$D$6,2,FALSE),"KHONG TIM THAY")</f>
        <v>HDD 1TB</v>
      </c>
      <c r="F64">
        <f>IFERROR(VLOOKUP(TRIM(B64),'danh-muc-linh-kien'!$A$2:$D$6,3,FALSE),0)</f>
        <v>800000</v>
      </c>
    </row>
    <row r="65" spans="1:6">
      <c r="A65" t="s">
        <v>90</v>
      </c>
      <c r="B65" t="s">
        <v>29</v>
      </c>
      <c r="C65" t="s">
        <v>22</v>
      </c>
      <c r="D65" t="s">
        <v>23</v>
      </c>
      <c r="E65" t="str">
        <f>IFERROR(VLOOKUP(TRIM(B65),'danh-muc-linh-kien'!$A$2:$D$6,2,FALSE),"KHONG TIM THAY")</f>
        <v>RAM 8GB</v>
      </c>
      <c r="F65">
        <f>IFERROR(VLOOKUP(TRIM(B65),'danh-muc-linh-kien'!$A$2:$D$6,3,FALSE),0)</f>
        <v>450000</v>
      </c>
    </row>
    <row r="66" spans="1:6">
      <c r="A66" t="s">
        <v>91</v>
      </c>
      <c r="B66" t="s">
        <v>31</v>
      </c>
      <c r="C66" t="s">
        <v>22</v>
      </c>
      <c r="D66" t="s">
        <v>23</v>
      </c>
      <c r="E66" t="str">
        <f>IFERROR(VLOOKUP(TRIM(B66),'danh-muc-linh-kien'!$A$2:$D$6,2,FALSE),"KHONG TIM THAY")</f>
        <v>CPU 4 cores</v>
      </c>
      <c r="F66">
        <f>IFERROR(VLOOKUP(TRIM(B66),'danh-muc-linh-kien'!$A$2:$D$6,3,FALSE),0)</f>
        <v>1800000</v>
      </c>
    </row>
    <row r="67" spans="1:6">
      <c r="A67" t="s">
        <v>92</v>
      </c>
      <c r="B67" t="s">
        <v>21</v>
      </c>
      <c r="C67" t="s">
        <v>22</v>
      </c>
      <c r="D67" t="s">
        <v>23</v>
      </c>
      <c r="E67" t="str">
        <f>IFERROR(VLOOKUP(TRIM(B67),'danh-muc-linh-kien'!$A$2:$D$6,2,FALSE),"KHONG TIM THAY")</f>
        <v>SSD 256GB</v>
      </c>
      <c r="F67">
        <f>IFERROR(VLOOKUP(TRIM(B67),'danh-muc-linh-kien'!$A$2:$D$6,3,FALSE),0)</f>
        <v>650000</v>
      </c>
    </row>
    <row r="68" spans="1:6">
      <c r="A68" t="s">
        <v>93</v>
      </c>
      <c r="B68" t="s">
        <v>25</v>
      </c>
      <c r="C68" t="s">
        <v>22</v>
      </c>
      <c r="D68" t="s">
        <v>23</v>
      </c>
      <c r="E68" t="str">
        <f>IFERROR(VLOOKUP(TRIM(B68),'danh-muc-linh-kien'!$A$2:$D$6,2,FALSE),"KHONG TIM THAY")</f>
        <v>SSD 512GB</v>
      </c>
      <c r="F68">
        <f>IFERROR(VLOOKUP(TRIM(B68),'danh-muc-linh-kien'!$A$2:$D$6,3,FALSE),0)</f>
        <v>950000</v>
      </c>
    </row>
    <row r="69" spans="1:6">
      <c r="A69" t="s">
        <v>94</v>
      </c>
      <c r="B69" t="s">
        <v>27</v>
      </c>
      <c r="C69" t="s">
        <v>22</v>
      </c>
      <c r="D69" t="s">
        <v>23</v>
      </c>
      <c r="E69" t="str">
        <f>IFERROR(VLOOKUP(TRIM(B69),'danh-muc-linh-kien'!$A$2:$D$6,2,FALSE),"KHONG TIM THAY")</f>
        <v>HDD 1TB</v>
      </c>
      <c r="F69">
        <f>IFERROR(VLOOKUP(TRIM(B69),'danh-muc-linh-kien'!$A$2:$D$6,3,FALSE),0)</f>
        <v>800000</v>
      </c>
    </row>
    <row r="70" spans="1:6">
      <c r="A70" t="s">
        <v>95</v>
      </c>
      <c r="B70" t="s">
        <v>29</v>
      </c>
      <c r="C70" t="s">
        <v>22</v>
      </c>
      <c r="D70" t="s">
        <v>23</v>
      </c>
      <c r="E70" t="str">
        <f>IFERROR(VLOOKUP(TRIM(B70),'danh-muc-linh-kien'!$A$2:$D$6,2,FALSE),"KHONG TIM THAY")</f>
        <v>RAM 8GB</v>
      </c>
      <c r="F70">
        <f>IFERROR(VLOOKUP(TRIM(B70),'danh-muc-linh-kien'!$A$2:$D$6,3,FALSE),0)</f>
        <v>450000</v>
      </c>
    </row>
    <row r="71" spans="1:6">
      <c r="A71" t="s">
        <v>96</v>
      </c>
      <c r="B71" t="s">
        <v>31</v>
      </c>
      <c r="C71" t="s">
        <v>22</v>
      </c>
      <c r="D71" t="s">
        <v>23</v>
      </c>
      <c r="E71" t="str">
        <f>IFERROR(VLOOKUP(TRIM(B71),'danh-muc-linh-kien'!$A$2:$D$6,2,FALSE),"KHONG TIM THAY")</f>
        <v>CPU 4 cores</v>
      </c>
      <c r="F71">
        <f>IFERROR(VLOOKUP(TRIM(B71),'danh-muc-linh-kien'!$A$2:$D$6,3,FALSE),0)</f>
        <v>1800000</v>
      </c>
    </row>
    <row r="72" spans="1:6">
      <c r="A72" t="s">
        <v>97</v>
      </c>
      <c r="B72" t="s">
        <v>21</v>
      </c>
      <c r="C72" t="s">
        <v>22</v>
      </c>
      <c r="D72" t="s">
        <v>23</v>
      </c>
      <c r="E72" t="str">
        <f>IFERROR(VLOOKUP(TRIM(B72),'danh-muc-linh-kien'!$A$2:$D$6,2,FALSE),"KHONG TIM THAY")</f>
        <v>SSD 256GB</v>
      </c>
      <c r="F72">
        <f>IFERROR(VLOOKUP(TRIM(B72),'danh-muc-linh-kien'!$A$2:$D$6,3,FALSE),0)</f>
        <v>650000</v>
      </c>
    </row>
    <row r="73" spans="1:6">
      <c r="A73" t="s">
        <v>98</v>
      </c>
      <c r="B73" t="s">
        <v>25</v>
      </c>
      <c r="C73" t="s">
        <v>22</v>
      </c>
      <c r="D73" t="s">
        <v>23</v>
      </c>
      <c r="E73" t="str">
        <f>IFERROR(VLOOKUP(TRIM(B73),'danh-muc-linh-kien'!$A$2:$D$6,2,FALSE),"KHONG TIM THAY")</f>
        <v>SSD 512GB</v>
      </c>
      <c r="F73">
        <f>IFERROR(VLOOKUP(TRIM(B73),'danh-muc-linh-kien'!$A$2:$D$6,3,FALSE),0)</f>
        <v>950000</v>
      </c>
    </row>
    <row r="74" spans="1:6">
      <c r="A74" t="s">
        <v>99</v>
      </c>
      <c r="B74" t="s">
        <v>27</v>
      </c>
      <c r="C74" t="s">
        <v>22</v>
      </c>
      <c r="D74" t="s">
        <v>23</v>
      </c>
      <c r="E74" t="str">
        <f>IFERROR(VLOOKUP(TRIM(B74),'danh-muc-linh-kien'!$A$2:$D$6,2,FALSE),"KHONG TIM THAY")</f>
        <v>HDD 1TB</v>
      </c>
      <c r="F74">
        <f>IFERROR(VLOOKUP(TRIM(B74),'danh-muc-linh-kien'!$A$2:$D$6,3,FALSE),0)</f>
        <v>800000</v>
      </c>
    </row>
    <row r="75" spans="1:6">
      <c r="A75" t="s">
        <v>100</v>
      </c>
      <c r="B75" t="s">
        <v>29</v>
      </c>
      <c r="C75" t="s">
        <v>22</v>
      </c>
      <c r="D75" t="s">
        <v>23</v>
      </c>
      <c r="E75" t="str">
        <f>IFERROR(VLOOKUP(TRIM(B75),'danh-muc-linh-kien'!$A$2:$D$6,2,FALSE),"KHONG TIM THAY")</f>
        <v>RAM 8GB</v>
      </c>
      <c r="F75">
        <f>IFERROR(VLOOKUP(TRIM(B75),'danh-muc-linh-kien'!$A$2:$D$6,3,FALSE),0)</f>
        <v>450000</v>
      </c>
    </row>
    <row r="76" spans="1:6">
      <c r="A76" t="s">
        <v>101</v>
      </c>
      <c r="B76" t="s">
        <v>31</v>
      </c>
      <c r="C76" t="s">
        <v>22</v>
      </c>
      <c r="D76" t="s">
        <v>23</v>
      </c>
      <c r="E76" t="str">
        <f>IFERROR(VLOOKUP(TRIM(B76),'danh-muc-linh-kien'!$A$2:$D$6,2,FALSE),"KHONG TIM THAY")</f>
        <v>CPU 4 cores</v>
      </c>
      <c r="F76">
        <f>IFERROR(VLOOKUP(TRIM(B76),'danh-muc-linh-kien'!$A$2:$D$6,3,FALSE),0)</f>
        <v>1800000</v>
      </c>
    </row>
    <row r="77" spans="1:6">
      <c r="A77" t="s">
        <v>102</v>
      </c>
      <c r="B77" t="s">
        <v>21</v>
      </c>
      <c r="C77" t="s">
        <v>22</v>
      </c>
      <c r="D77" t="s">
        <v>23</v>
      </c>
      <c r="E77" t="str">
        <f>IFERROR(VLOOKUP(TRIM(B77),'danh-muc-linh-kien'!$A$2:$D$6,2,FALSE),"KHONG TIM THAY")</f>
        <v>SSD 256GB</v>
      </c>
      <c r="F77">
        <f>IFERROR(VLOOKUP(TRIM(B77),'danh-muc-linh-kien'!$A$2:$D$6,3,FALSE),0)</f>
        <v>650000</v>
      </c>
    </row>
    <row r="78" spans="1:6">
      <c r="A78" t="s">
        <v>103</v>
      </c>
      <c r="B78" t="s">
        <v>25</v>
      </c>
      <c r="C78" t="s">
        <v>22</v>
      </c>
      <c r="D78" t="s">
        <v>23</v>
      </c>
      <c r="E78" t="str">
        <f>IFERROR(VLOOKUP(TRIM(B78),'danh-muc-linh-kien'!$A$2:$D$6,2,FALSE),"KHONG TIM THAY")</f>
        <v>SSD 512GB</v>
      </c>
      <c r="F78">
        <f>IFERROR(VLOOKUP(TRIM(B78),'danh-muc-linh-kien'!$A$2:$D$6,3,FALSE),0)</f>
        <v>950000</v>
      </c>
    </row>
    <row r="79" spans="1:6">
      <c r="A79" t="s">
        <v>104</v>
      </c>
      <c r="B79" t="s">
        <v>27</v>
      </c>
      <c r="C79" t="s">
        <v>22</v>
      </c>
      <c r="D79" t="s">
        <v>23</v>
      </c>
      <c r="E79" t="str">
        <f>IFERROR(VLOOKUP(TRIM(B79),'danh-muc-linh-kien'!$A$2:$D$6,2,FALSE),"KHONG TIM THAY")</f>
        <v>HDD 1TB</v>
      </c>
      <c r="F79">
        <f>IFERROR(VLOOKUP(TRIM(B79),'danh-muc-linh-kien'!$A$2:$D$6,3,FALSE),0)</f>
        <v>800000</v>
      </c>
    </row>
    <row r="80" spans="1:6">
      <c r="A80" t="s">
        <v>105</v>
      </c>
      <c r="B80" t="s">
        <v>29</v>
      </c>
      <c r="C80" t="s">
        <v>22</v>
      </c>
      <c r="D80" t="s">
        <v>23</v>
      </c>
      <c r="E80" t="str">
        <f>IFERROR(VLOOKUP(TRIM(B80),'danh-muc-linh-kien'!$A$2:$D$6,2,FALSE),"KHONG TIM THAY")</f>
        <v>RAM 8GB</v>
      </c>
      <c r="F80">
        <f>IFERROR(VLOOKUP(TRIM(B80),'danh-muc-linh-kien'!$A$2:$D$6,3,FALSE),0)</f>
        <v>450000</v>
      </c>
    </row>
    <row r="81" spans="1:6">
      <c r="A81" t="s">
        <v>106</v>
      </c>
      <c r="B81" t="s">
        <v>31</v>
      </c>
      <c r="C81" t="s">
        <v>22</v>
      </c>
      <c r="D81" t="s">
        <v>23</v>
      </c>
      <c r="E81" t="str">
        <f>IFERROR(VLOOKUP(TRIM(B81),'danh-muc-linh-kien'!$A$2:$D$6,2,FALSE),"KHONG TIM THAY")</f>
        <v>CPU 4 cores</v>
      </c>
      <c r="F81">
        <f>IFERROR(VLOOKUP(TRIM(B81),'danh-muc-linh-kien'!$A$2:$D$6,3,FALSE),0)</f>
        <v>1800000</v>
      </c>
    </row>
    <row r="82" spans="1:6">
      <c r="A82" t="s">
        <v>107</v>
      </c>
      <c r="B82" t="s">
        <v>21</v>
      </c>
      <c r="C82" t="s">
        <v>22</v>
      </c>
      <c r="D82" t="s">
        <v>23</v>
      </c>
      <c r="E82" t="str">
        <f>IFERROR(VLOOKUP(TRIM(B82),'danh-muc-linh-kien'!$A$2:$D$6,2,FALSE),"KHONG TIM THAY")</f>
        <v>SSD 256GB</v>
      </c>
      <c r="F82">
        <f>IFERROR(VLOOKUP(TRIM(B82),'danh-muc-linh-kien'!$A$2:$D$6,3,FALSE),0)</f>
        <v>650000</v>
      </c>
    </row>
    <row r="83" spans="1:6">
      <c r="A83" t="s">
        <v>108</v>
      </c>
      <c r="B83" t="s">
        <v>25</v>
      </c>
      <c r="C83" t="s">
        <v>22</v>
      </c>
      <c r="D83" t="s">
        <v>23</v>
      </c>
      <c r="E83" t="str">
        <f>IFERROR(VLOOKUP(TRIM(B83),'danh-muc-linh-kien'!$A$2:$D$6,2,FALSE),"KHONG TIM THAY")</f>
        <v>SSD 512GB</v>
      </c>
      <c r="F83">
        <f>IFERROR(VLOOKUP(TRIM(B83),'danh-muc-linh-kien'!$A$2:$D$6,3,FALSE),0)</f>
        <v>950000</v>
      </c>
    </row>
    <row r="84" spans="1:6">
      <c r="A84" t="s">
        <v>109</v>
      </c>
      <c r="B84" t="s">
        <v>27</v>
      </c>
      <c r="C84" t="s">
        <v>22</v>
      </c>
      <c r="D84" t="s">
        <v>23</v>
      </c>
      <c r="E84" t="str">
        <f>IFERROR(VLOOKUP(TRIM(B84),'danh-muc-linh-kien'!$A$2:$D$6,2,FALSE),"KHONG TIM THAY")</f>
        <v>HDD 1TB</v>
      </c>
      <c r="F84">
        <f>IFERROR(VLOOKUP(TRIM(B84),'danh-muc-linh-kien'!$A$2:$D$6,3,FALSE),0)</f>
        <v>800000</v>
      </c>
    </row>
    <row r="85" spans="1:6">
      <c r="A85" t="s">
        <v>110</v>
      </c>
      <c r="B85" t="s">
        <v>29</v>
      </c>
      <c r="C85" t="s">
        <v>22</v>
      </c>
      <c r="D85" t="s">
        <v>23</v>
      </c>
      <c r="E85" t="str">
        <f>IFERROR(VLOOKUP(TRIM(B85),'danh-muc-linh-kien'!$A$2:$D$6,2,FALSE),"KHONG TIM THAY")</f>
        <v>RAM 8GB</v>
      </c>
      <c r="F85">
        <f>IFERROR(VLOOKUP(TRIM(B85),'danh-muc-linh-kien'!$A$2:$D$6,3,FALSE),0)</f>
        <v>450000</v>
      </c>
    </row>
    <row r="86" spans="1:6">
      <c r="A86" t="s">
        <v>111</v>
      </c>
      <c r="B86" t="s">
        <v>31</v>
      </c>
      <c r="C86" t="s">
        <v>22</v>
      </c>
      <c r="D86" t="s">
        <v>23</v>
      </c>
      <c r="E86" t="str">
        <f>IFERROR(VLOOKUP(TRIM(B86),'danh-muc-linh-kien'!$A$2:$D$6,2,FALSE),"KHONG TIM THAY")</f>
        <v>CPU 4 cores</v>
      </c>
      <c r="F86">
        <f>IFERROR(VLOOKUP(TRIM(B86),'danh-muc-linh-kien'!$A$2:$D$6,3,FALSE),0)</f>
        <v>1800000</v>
      </c>
    </row>
    <row r="87" spans="1:6">
      <c r="A87" t="s">
        <v>112</v>
      </c>
      <c r="B87" t="s">
        <v>21</v>
      </c>
      <c r="C87" t="s">
        <v>22</v>
      </c>
      <c r="D87" t="s">
        <v>23</v>
      </c>
      <c r="E87" t="str">
        <f>IFERROR(VLOOKUP(TRIM(B87),'danh-muc-linh-kien'!$A$2:$D$6,2,FALSE),"KHONG TIM THAY")</f>
        <v>SSD 256GB</v>
      </c>
      <c r="F87">
        <f>IFERROR(VLOOKUP(TRIM(B87),'danh-muc-linh-kien'!$A$2:$D$6,3,FALSE),0)</f>
        <v>650000</v>
      </c>
    </row>
    <row r="88" spans="1:6">
      <c r="A88" t="s">
        <v>113</v>
      </c>
      <c r="B88" t="s">
        <v>25</v>
      </c>
      <c r="C88" t="s">
        <v>22</v>
      </c>
      <c r="D88" t="s">
        <v>23</v>
      </c>
      <c r="E88" t="str">
        <f>IFERROR(VLOOKUP(TRIM(B88),'danh-muc-linh-kien'!$A$2:$D$6,2,FALSE),"KHONG TIM THAY")</f>
        <v>SSD 512GB</v>
      </c>
      <c r="F88">
        <f>IFERROR(VLOOKUP(TRIM(B88),'danh-muc-linh-kien'!$A$2:$D$6,3,FALSE),0)</f>
        <v>950000</v>
      </c>
    </row>
    <row r="89" spans="1:6">
      <c r="A89" t="s">
        <v>114</v>
      </c>
      <c r="B89" t="s">
        <v>27</v>
      </c>
      <c r="C89" t="s">
        <v>22</v>
      </c>
      <c r="D89" t="s">
        <v>23</v>
      </c>
      <c r="E89" t="str">
        <f>IFERROR(VLOOKUP(TRIM(B89),'danh-muc-linh-kien'!$A$2:$D$6,2,FALSE),"KHONG TIM THAY")</f>
        <v>HDD 1TB</v>
      </c>
      <c r="F89">
        <f>IFERROR(VLOOKUP(TRIM(B89),'danh-muc-linh-kien'!$A$2:$D$6,3,FALSE),0)</f>
        <v>800000</v>
      </c>
    </row>
    <row r="90" spans="1:6">
      <c r="A90" t="s">
        <v>115</v>
      </c>
      <c r="B90" t="s">
        <v>29</v>
      </c>
      <c r="C90" t="s">
        <v>22</v>
      </c>
      <c r="D90" t="s">
        <v>23</v>
      </c>
      <c r="E90" t="str">
        <f>IFERROR(VLOOKUP(TRIM(B90),'danh-muc-linh-kien'!$A$2:$D$6,2,FALSE),"KHONG TIM THAY")</f>
        <v>RAM 8GB</v>
      </c>
      <c r="F90">
        <f>IFERROR(VLOOKUP(TRIM(B90),'danh-muc-linh-kien'!$A$2:$D$6,3,FALSE),0)</f>
        <v>450000</v>
      </c>
    </row>
    <row r="91" spans="1:6">
      <c r="A91" t="s">
        <v>116</v>
      </c>
      <c r="B91" t="s">
        <v>31</v>
      </c>
      <c r="C91" t="s">
        <v>22</v>
      </c>
      <c r="D91" t="s">
        <v>23</v>
      </c>
      <c r="E91" t="str">
        <f>IFERROR(VLOOKUP(TRIM(B91),'danh-muc-linh-kien'!$A$2:$D$6,2,FALSE),"KHONG TIM THAY")</f>
        <v>CPU 4 cores</v>
      </c>
      <c r="F91">
        <f>IFERROR(VLOOKUP(TRIM(B91),'danh-muc-linh-kien'!$A$2:$D$6,3,FALSE),0)</f>
        <v>1800000</v>
      </c>
    </row>
    <row r="92" spans="1:6">
      <c r="A92" t="s">
        <v>117</v>
      </c>
      <c r="B92" t="s">
        <v>21</v>
      </c>
      <c r="C92" t="s">
        <v>22</v>
      </c>
      <c r="D92" t="s">
        <v>23</v>
      </c>
      <c r="E92" t="str">
        <f>IFERROR(VLOOKUP(TRIM(B92),'danh-muc-linh-kien'!$A$2:$D$6,2,FALSE),"KHONG TIM THAY")</f>
        <v>SSD 256GB</v>
      </c>
      <c r="F92">
        <f>IFERROR(VLOOKUP(TRIM(B92),'danh-muc-linh-kien'!$A$2:$D$6,3,FALSE),0)</f>
        <v>650000</v>
      </c>
    </row>
    <row r="93" spans="1:6">
      <c r="A93" t="s">
        <v>118</v>
      </c>
      <c r="B93" t="s">
        <v>25</v>
      </c>
      <c r="C93" t="s">
        <v>22</v>
      </c>
      <c r="D93" t="s">
        <v>23</v>
      </c>
      <c r="E93" t="str">
        <f>IFERROR(VLOOKUP(TRIM(B93),'danh-muc-linh-kien'!$A$2:$D$6,2,FALSE),"KHONG TIM THAY")</f>
        <v>SSD 512GB</v>
      </c>
      <c r="F93">
        <f>IFERROR(VLOOKUP(TRIM(B93),'danh-muc-linh-kien'!$A$2:$D$6,3,FALSE),0)</f>
        <v>950000</v>
      </c>
    </row>
    <row r="94" spans="1:6">
      <c r="A94" t="s">
        <v>119</v>
      </c>
      <c r="B94" t="s">
        <v>27</v>
      </c>
      <c r="C94" t="s">
        <v>22</v>
      </c>
      <c r="D94" t="s">
        <v>23</v>
      </c>
      <c r="E94" t="str">
        <f>IFERROR(VLOOKUP(TRIM(B94),'danh-muc-linh-kien'!$A$2:$D$6,2,FALSE),"KHONG TIM THAY")</f>
        <v>HDD 1TB</v>
      </c>
      <c r="F94">
        <f>IFERROR(VLOOKUP(TRIM(B94),'danh-muc-linh-kien'!$A$2:$D$6,3,FALSE),0)</f>
        <v>800000</v>
      </c>
    </row>
    <row r="95" spans="1:6">
      <c r="A95" t="s">
        <v>120</v>
      </c>
      <c r="B95" t="s">
        <v>29</v>
      </c>
      <c r="C95" t="s">
        <v>22</v>
      </c>
      <c r="D95" t="s">
        <v>23</v>
      </c>
      <c r="E95" t="str">
        <f>IFERROR(VLOOKUP(TRIM(B95),'danh-muc-linh-kien'!$A$2:$D$6,2,FALSE),"KHONG TIM THAY")</f>
        <v>RAM 8GB</v>
      </c>
      <c r="F95">
        <f>IFERROR(VLOOKUP(TRIM(B95),'danh-muc-linh-kien'!$A$2:$D$6,3,FALSE),0)</f>
        <v>450000</v>
      </c>
    </row>
    <row r="96" spans="1:6">
      <c r="A96" t="s">
        <v>121</v>
      </c>
      <c r="B96" t="s">
        <v>31</v>
      </c>
      <c r="C96" t="s">
        <v>22</v>
      </c>
      <c r="D96" t="s">
        <v>23</v>
      </c>
      <c r="E96" t="str">
        <f>IFERROR(VLOOKUP(TRIM(B96),'danh-muc-linh-kien'!$A$2:$D$6,2,FALSE),"KHONG TIM THAY")</f>
        <v>CPU 4 cores</v>
      </c>
      <c r="F96">
        <f>IFERROR(VLOOKUP(TRIM(B96),'danh-muc-linh-kien'!$A$2:$D$6,3,FALSE),0)</f>
        <v>1800000</v>
      </c>
    </row>
    <row r="97" spans="1:6">
      <c r="A97" t="s">
        <v>122</v>
      </c>
      <c r="B97" t="s">
        <v>21</v>
      </c>
      <c r="C97" t="s">
        <v>22</v>
      </c>
      <c r="D97" t="s">
        <v>23</v>
      </c>
      <c r="E97" t="str">
        <f>IFERROR(VLOOKUP(TRIM(B97),'danh-muc-linh-kien'!$A$2:$D$6,2,FALSE),"KHONG TIM THAY")</f>
        <v>SSD 256GB</v>
      </c>
      <c r="F97">
        <f>IFERROR(VLOOKUP(TRIM(B97),'danh-muc-linh-kien'!$A$2:$D$6,3,FALSE),0)</f>
        <v>650000</v>
      </c>
    </row>
    <row r="98" spans="1:6">
      <c r="A98" t="s">
        <v>123</v>
      </c>
      <c r="B98" t="s">
        <v>25</v>
      </c>
      <c r="C98" t="s">
        <v>22</v>
      </c>
      <c r="D98" t="s">
        <v>23</v>
      </c>
      <c r="E98" t="str">
        <f>IFERROR(VLOOKUP(TRIM(B98),'danh-muc-linh-kien'!$A$2:$D$6,2,FALSE),"KHONG TIM THAY")</f>
        <v>SSD 512GB</v>
      </c>
      <c r="F98">
        <f>IFERROR(VLOOKUP(TRIM(B98),'danh-muc-linh-kien'!$A$2:$D$6,3,FALSE),0)</f>
        <v>950000</v>
      </c>
    </row>
    <row r="99" spans="1:6">
      <c r="A99" t="s">
        <v>124</v>
      </c>
      <c r="B99" t="s">
        <v>27</v>
      </c>
      <c r="C99" t="s">
        <v>22</v>
      </c>
      <c r="D99" t="s">
        <v>23</v>
      </c>
      <c r="E99" t="str">
        <f>IFERROR(VLOOKUP(TRIM(B99),'danh-muc-linh-kien'!$A$2:$D$6,2,FALSE),"KHONG TIM THAY")</f>
        <v>HDD 1TB</v>
      </c>
      <c r="F99">
        <f>IFERROR(VLOOKUP(TRIM(B99),'danh-muc-linh-kien'!$A$2:$D$6,3,FALSE),0)</f>
        <v>800000</v>
      </c>
    </row>
    <row r="100" spans="1:6">
      <c r="A100" t="s">
        <v>125</v>
      </c>
      <c r="B100" t="s">
        <v>29</v>
      </c>
      <c r="C100" t="s">
        <v>22</v>
      </c>
      <c r="D100" t="s">
        <v>23</v>
      </c>
      <c r="E100" t="str">
        <f>IFERROR(VLOOKUP(TRIM(B100),'danh-muc-linh-kien'!$A$2:$D$6,2,FALSE),"KHONG TIM THAY")</f>
        <v>RAM 8GB</v>
      </c>
      <c r="F100">
        <f>IFERROR(VLOOKUP(TRIM(B100),'danh-muc-linh-kien'!$A$2:$D$6,3,FALSE),0)</f>
        <v>450000</v>
      </c>
    </row>
    <row r="101" spans="1:6">
      <c r="A101" t="s">
        <v>126</v>
      </c>
      <c r="B101" t="s">
        <v>31</v>
      </c>
      <c r="C101" t="s">
        <v>22</v>
      </c>
      <c r="D101" t="s">
        <v>23</v>
      </c>
      <c r="E101" t="str">
        <f>IFERROR(VLOOKUP(TRIM(B101),'danh-muc-linh-kien'!$A$2:$D$6,2,FALSE),"KHONG TIM THAY")</f>
        <v>CPU 4 cores</v>
      </c>
      <c r="F101">
        <f>IFERROR(VLOOKUP(TRIM(B101),'danh-muc-linh-kien'!$A$2:$D$6,3,FALSE),0)</f>
        <v>1800000</v>
      </c>
    </row>
  </sheetData>
  <autoFilter xmlns:etc="http://www.wps.cn/officeDocument/2017/etCustomData" ref="A1:F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khuu</cp:lastModifiedBy>
  <dcterms:created xsi:type="dcterms:W3CDTF">2026-10-26T17:01:00Z</dcterms:created>
  <dcterms:modified xsi:type="dcterms:W3CDTF">2026-10-26T17:14:04Z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005B10B3751D40C8A4EE4FA738EC5C76_12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